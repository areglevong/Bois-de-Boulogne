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g\Downloads\"/>
    </mc:Choice>
  </mc:AlternateContent>
  <xr:revisionPtr revIDLastSave="0" documentId="8_{66813F27-C63F-E44A-927A-82BE6BD6B372}" xr6:coauthVersionLast="47" xr6:coauthVersionMax="47" xr10:uidLastSave="{00000000-0000-0000-0000-000000000000}"/>
  <bookViews>
    <workbookView xWindow="28680" yWindow="-120" windowWidth="29040" windowHeight="15720" xr2:uid="{7CA097F6-3EA8-474A-9FCA-98472D18111C}"/>
  </bookViews>
  <sheets>
    <sheet name="Graphique" sheetId="1" r:id="rId1"/>
    <sheet name="Reglinerai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L38" i="2"/>
  <c r="K38" i="2"/>
  <c r="J38" i="2"/>
  <c r="I38" i="2"/>
  <c r="H38" i="2"/>
  <c r="L37" i="2"/>
  <c r="K37" i="2"/>
  <c r="J37" i="2"/>
  <c r="I37" i="2"/>
  <c r="H37" i="2"/>
  <c r="L36" i="2"/>
  <c r="K36" i="2"/>
  <c r="J36" i="2"/>
  <c r="I36" i="2"/>
  <c r="H36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L31" i="2"/>
  <c r="K31" i="2"/>
  <c r="J31" i="2"/>
  <c r="I31" i="2"/>
  <c r="H31" i="2"/>
  <c r="L30" i="2"/>
  <c r="K30" i="2"/>
  <c r="J30" i="2"/>
  <c r="I30" i="2"/>
  <c r="H30" i="2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5" i="2"/>
  <c r="K25" i="2"/>
  <c r="J25" i="2"/>
  <c r="I25" i="2"/>
  <c r="H25" i="2"/>
  <c r="L24" i="2"/>
  <c r="K24" i="2"/>
  <c r="J24" i="2"/>
  <c r="I24" i="2"/>
  <c r="H24" i="2"/>
  <c r="L23" i="2"/>
  <c r="K23" i="2"/>
  <c r="J23" i="2"/>
  <c r="I23" i="2"/>
  <c r="H23" i="2"/>
  <c r="L22" i="2"/>
  <c r="K22" i="2"/>
  <c r="J22" i="2"/>
  <c r="I22" i="2"/>
  <c r="H22" i="2"/>
  <c r="L21" i="2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H19" i="2"/>
  <c r="N9" i="2"/>
  <c r="M9" i="2"/>
  <c r="H12" i="2"/>
  <c r="J12" i="2"/>
  <c r="K12" i="2"/>
  <c r="I12" i="2"/>
  <c r="L12" i="2"/>
  <c r="H11" i="2"/>
  <c r="H10" i="2"/>
  <c r="H18" i="2"/>
  <c r="H17" i="2"/>
  <c r="H14" i="2"/>
  <c r="H13" i="2"/>
  <c r="H16" i="2"/>
  <c r="H9" i="2"/>
  <c r="H15" i="2"/>
  <c r="J18" i="2"/>
  <c r="I18" i="2"/>
  <c r="L18" i="2"/>
  <c r="K18" i="2"/>
  <c r="I9" i="2"/>
  <c r="H39" i="2"/>
  <c r="L9" i="2"/>
  <c r="K9" i="2"/>
  <c r="J9" i="2"/>
  <c r="L17" i="2"/>
  <c r="I17" i="2"/>
  <c r="K17" i="2"/>
  <c r="J17" i="2"/>
  <c r="J10" i="2"/>
  <c r="I10" i="2"/>
  <c r="L10" i="2"/>
  <c r="K10" i="2"/>
  <c r="L11" i="2"/>
  <c r="J11" i="2"/>
  <c r="K11" i="2"/>
  <c r="I11" i="2"/>
  <c r="L16" i="2"/>
  <c r="K16" i="2"/>
  <c r="I16" i="2"/>
  <c r="J16" i="2"/>
  <c r="I15" i="2"/>
  <c r="K15" i="2"/>
  <c r="J15" i="2"/>
  <c r="L15" i="2"/>
  <c r="K13" i="2"/>
  <c r="I13" i="2"/>
  <c r="J13" i="2"/>
  <c r="L13" i="2"/>
  <c r="J14" i="2"/>
  <c r="L14" i="2"/>
  <c r="I14" i="2"/>
  <c r="K14" i="2"/>
  <c r="K39" i="2"/>
  <c r="I39" i="2"/>
  <c r="L39" i="2"/>
  <c r="J39" i="2"/>
  <c r="D42" i="2"/>
  <c r="B45" i="2"/>
  <c r="D45" i="2"/>
  <c r="B48" i="2"/>
</calcChain>
</file>

<file path=xl/sharedStrings.xml><?xml version="1.0" encoding="utf-8"?>
<sst xmlns="http://schemas.openxmlformats.org/spreadsheetml/2006/main" count="118" uniqueCount="46">
  <si>
    <t>±</t>
  </si>
  <si>
    <t>https://youtu.be/n6HILxLaVrg</t>
  </si>
  <si>
    <r>
      <t>Calcul de régression linéaire (</t>
    </r>
    <r>
      <rPr>
        <i/>
        <sz val="10"/>
        <color indexed="8"/>
        <rFont val="Times New Roman"/>
        <family val="1"/>
      </rPr>
      <t>y=mx+b</t>
    </r>
    <r>
      <rPr>
        <sz val="10"/>
        <color indexed="8"/>
        <rFont val="Times New Roman"/>
        <family val="1"/>
      </rPr>
      <t>) avec incertitude</t>
    </r>
  </si>
  <si>
    <t>version 8</t>
  </si>
  <si>
    <t>auteur: René Lafrance</t>
  </si>
  <si>
    <r>
      <t xml:space="preserve">Courbe du genre </t>
    </r>
    <r>
      <rPr>
        <i/>
        <sz val="10"/>
        <color indexed="8"/>
        <rFont val="Times New Roman"/>
        <family val="1"/>
      </rPr>
      <t>y=mx+b</t>
    </r>
  </si>
  <si>
    <r>
      <t xml:space="preserve">Instruction: Entrez vos données dans les colonnes </t>
    </r>
    <r>
      <rPr>
        <i/>
        <sz val="9.6999999999999993"/>
        <color indexed="8"/>
        <rFont val="Times New Roman"/>
        <family val="1"/>
      </rPr>
      <t>x, y</t>
    </r>
    <r>
      <rPr>
        <sz val="9.6999999999999993"/>
        <color indexed="8"/>
        <rFont val="Times New Roman"/>
        <family val="1"/>
      </rPr>
      <t xml:space="preserve"> </t>
    </r>
  </si>
  <si>
    <t>(colonnes jaunes)</t>
  </si>
  <si>
    <r>
      <t xml:space="preserve">La pente est alors </t>
    </r>
    <r>
      <rPr>
        <i/>
        <sz val="10"/>
        <color indexed="8"/>
        <rFont val="Times New Roman"/>
        <family val="1"/>
      </rPr>
      <t>m</t>
    </r>
    <r>
      <rPr>
        <sz val="10"/>
        <color indexed="8"/>
        <rFont val="Times New Roman"/>
        <family val="1"/>
      </rPr>
      <t xml:space="preserve"> et l'ordonnée à l'origine est </t>
    </r>
    <r>
      <rPr>
        <i/>
        <sz val="10"/>
        <color indexed="8"/>
        <rFont val="Times New Roman"/>
        <family val="1"/>
      </rPr>
      <t>b</t>
    </r>
  </si>
  <si>
    <t>n</t>
  </si>
  <si>
    <t>x</t>
  </si>
  <si>
    <t>y</t>
  </si>
  <si>
    <r>
      <t>w</t>
    </r>
    <r>
      <rPr>
        <i/>
        <sz val="11.65"/>
        <color indexed="8"/>
        <rFont val="Times New Roman"/>
        <family val="1"/>
      </rPr>
      <t>=poids</t>
    </r>
  </si>
  <si>
    <t>wx</t>
  </si>
  <si>
    <t>wy</t>
  </si>
  <si>
    <r>
      <t>wx</t>
    </r>
    <r>
      <rPr>
        <sz val="11.65"/>
        <color indexed="8"/>
        <rFont val="Times New Roman"/>
        <family val="1"/>
      </rPr>
      <t>2</t>
    </r>
  </si>
  <si>
    <t>wxy</t>
  </si>
  <si>
    <t>B</t>
  </si>
  <si>
    <t>R2</t>
  </si>
  <si>
    <t>sommes</t>
  </si>
  <si>
    <t>D</t>
  </si>
  <si>
    <t>m</t>
  </si>
  <si>
    <t>b</t>
  </si>
  <si>
    <t>SI vous avez de la difficulté à réaliser certaines étapes, vous pouvez consulter ceci:</t>
  </si>
  <si>
    <t xml:space="preserve">Nom: </t>
  </si>
  <si>
    <t xml:space="preserve">DA: </t>
  </si>
  <si>
    <t>Prélabo 3  (il va compter pour 4/20)</t>
  </si>
  <si>
    <t>furet</t>
  </si>
  <si>
    <t>Vous devez réaliser un graphique de science avec Excel et remplir l'onglet Reglineaire pour obtenir la pente et l'ordonnée avec leur incertitude</t>
  </si>
  <si>
    <r>
      <t xml:space="preserve">Quand vous avez terminé, déposez le document dans </t>
    </r>
    <r>
      <rPr>
        <b/>
        <sz val="11"/>
        <color theme="1"/>
        <rFont val="Aptos Narrow"/>
        <family val="2"/>
        <scheme val="minor"/>
      </rPr>
      <t>LEA -&gt;Travaux</t>
    </r>
  </si>
  <si>
    <t>Dans le guide méthodologique (pages 85 à 88) on retrouve les règles de présentation d'un graphique</t>
  </si>
  <si>
    <t xml:space="preserve">i) Capsule qui montre comment on réalise un graphique. Le lien est : </t>
  </si>
  <si>
    <r>
      <t xml:space="preserve">ii) Le didacticiel Excel qui est dans </t>
    </r>
    <r>
      <rPr>
        <b/>
        <sz val="11"/>
        <rFont val="Aptos Narrow"/>
        <family val="2"/>
        <scheme val="minor"/>
      </rPr>
      <t>LEA -&gt;Document-&gt; Laboratoire</t>
    </r>
  </si>
  <si>
    <t>R</t>
  </si>
  <si>
    <r>
      <t>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Aptos Narrow"/>
        <family val="2"/>
        <scheme val="minor"/>
      </rPr>
      <t>)</t>
    </r>
  </si>
  <si>
    <t xml:space="preserve">R: Résistance </t>
  </si>
  <si>
    <t>Tracez le graphique du courant en fonction de la résistance  en respectant les règles de présentation (voir guide méthodologique).</t>
  </si>
  <si>
    <t>P</t>
  </si>
  <si>
    <t xml:space="preserve">(W) </t>
  </si>
  <si>
    <t>P : Puissance</t>
  </si>
  <si>
    <r>
      <rPr>
        <sz val="11"/>
        <color rgb="FF00B050"/>
        <rFont val="Aptos Narrow"/>
        <family val="2"/>
        <scheme val="minor"/>
      </rPr>
      <t>Mise en situation</t>
    </r>
    <r>
      <rPr>
        <sz val="11"/>
        <color theme="1"/>
        <rFont val="Aptos Narrow"/>
        <family val="2"/>
        <scheme val="minor"/>
      </rPr>
      <t>: On réalise un circuit électrique. Pour différentes valeurs de résistances en  ohm, on mesure la puissance en watt dissipée par la résistance.</t>
    </r>
  </si>
  <si>
    <t>Areg Gyumishyan</t>
  </si>
  <si>
    <t>m=</t>
  </si>
  <si>
    <t>b=</t>
  </si>
  <si>
    <t>Ω/W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</si>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</sst>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E+00"/>
  </numFmts>
  <fonts count="2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name val="Times New Roman"/>
      <family val="1"/>
    </font>
    <font>
      <i/>
      <sz val="9.6999999999999993"/>
      <color indexed="8"/>
      <name val="Times New Roman"/>
      <family val="1"/>
    </font>
    <font>
      <sz val="9.6999999999999993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1.65"/>
      <color indexed="8"/>
      <name val="Times New Roman"/>
      <family val="1"/>
    </font>
    <font>
      <sz val="11.65"/>
      <color indexed="8"/>
      <name val="Times New Roman"/>
      <family val="1"/>
    </font>
    <font>
      <sz val="10"/>
      <color indexed="8"/>
      <name val="Symbol"/>
      <family val="1"/>
      <charset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Symbol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99FF99"/>
        <bgColor indexed="8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2" fillId="0" borderId="0" xfId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5" fillId="0" borderId="0" xfId="0" applyFont="1" applyProtection="1">
      <protection locked="0"/>
    </xf>
    <xf numFmtId="0" fontId="5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5" fontId="3" fillId="3" borderId="0" xfId="0" applyNumberFormat="1" applyFont="1" applyFill="1" applyAlignment="1" applyProtection="1">
      <alignment horizontal="center"/>
      <protection locked="0"/>
    </xf>
    <xf numFmtId="2" fontId="3" fillId="4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5" fontId="3" fillId="3" borderId="9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4" fillId="7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2" fontId="3" fillId="0" borderId="0" xfId="0" applyNumberFormat="1" applyFont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166" fontId="3" fillId="7" borderId="13" xfId="0" applyNumberFormat="1" applyFont="1" applyFill="1" applyBorder="1" applyAlignment="1">
      <alignment horizontal="center"/>
    </xf>
    <xf numFmtId="166" fontId="3" fillId="7" borderId="14" xfId="0" applyNumberFormat="1" applyFont="1" applyFill="1" applyBorder="1" applyAlignment="1">
      <alignment horizontal="center"/>
    </xf>
    <xf numFmtId="167" fontId="3" fillId="6" borderId="0" xfId="0" applyNumberFormat="1" applyFont="1" applyFill="1" applyAlignment="1">
      <alignment horizontal="center"/>
    </xf>
    <xf numFmtId="167" fontId="4" fillId="7" borderId="11" xfId="0" applyNumberFormat="1" applyFont="1" applyFill="1" applyBorder="1" applyAlignment="1">
      <alignment horizontal="center"/>
    </xf>
    <xf numFmtId="167" fontId="3" fillId="7" borderId="12" xfId="0" applyNumberFormat="1" applyFont="1" applyFill="1" applyBorder="1" applyAlignment="1">
      <alignment horizontal="center"/>
    </xf>
    <xf numFmtId="2" fontId="5" fillId="0" borderId="0" xfId="0" applyNumberFormat="1" applyFont="1" applyProtection="1">
      <protection locked="0"/>
    </xf>
    <xf numFmtId="164" fontId="0" fillId="8" borderId="0" xfId="0" applyNumberForma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/>
    </xf>
    <xf numFmtId="164" fontId="0" fillId="8" borderId="9" xfId="0" applyNumberFormat="1" applyFill="1" applyBorder="1" applyAlignment="1">
      <alignment horizontal="center"/>
    </xf>
    <xf numFmtId="0" fontId="13" fillId="0" borderId="0" xfId="1" applyFont="1"/>
    <xf numFmtId="0" fontId="14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0" fontId="15" fillId="0" borderId="0" xfId="0" applyFont="1"/>
    <xf numFmtId="164" fontId="0" fillId="0" borderId="4" xfId="0" applyNumberFormat="1" applyBorder="1" applyAlignment="1">
      <alignment horizontal="center"/>
    </xf>
    <xf numFmtId="0" fontId="0" fillId="0" borderId="18" xfId="0" applyBorder="1"/>
    <xf numFmtId="0" fontId="0" fillId="0" borderId="20" xfId="0" applyBorder="1"/>
    <xf numFmtId="1" fontId="0" fillId="0" borderId="0" xfId="0" applyNumberFormat="1"/>
    <xf numFmtId="2" fontId="0" fillId="0" borderId="0" xfId="0" applyNumberFormat="1"/>
    <xf numFmtId="1" fontId="0" fillId="0" borderId="5" xfId="0" applyNumberFormat="1" applyBorder="1" applyAlignment="1">
      <alignment horizontal="left"/>
    </xf>
    <xf numFmtId="1" fontId="0" fillId="0" borderId="19" xfId="0" applyNumberFormat="1" applyBorder="1"/>
    <xf numFmtId="0" fontId="14" fillId="0" borderId="0" xfId="0" applyFont="1"/>
    <xf numFmtId="164" fontId="3" fillId="7" borderId="14" xfId="0" applyNumberFormat="1" applyFont="1" applyFill="1" applyBorder="1" applyAlignment="1">
      <alignment horizontal="left"/>
    </xf>
    <xf numFmtId="164" fontId="3" fillId="7" borderId="13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8" borderId="15" xfId="0" applyFill="1" applyBorder="1"/>
    <xf numFmtId="0" fontId="0" fillId="8" borderId="17" xfId="0" applyFill="1" applyBorder="1"/>
    <xf numFmtId="0" fontId="0" fillId="8" borderId="1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Puissance dissipée en fonction de la résistance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91614651815353E-2"/>
          <c:y val="0.15343969258744616"/>
          <c:w val="0.86805796150481185"/>
          <c:h val="0.7202867934191152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 = mP - b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Graphique!$F$20:$F$27</c:f>
                <c:numCache>
                  <c:formatCode>0</c:formatCode>
                  <c:ptCount val="8"/>
                  <c:pt idx="0">
                    <c:v>3</c:v>
                  </c:pt>
                  <c:pt idx="1">
                    <c:v>3</c:v>
                  </c:pt>
                  <c:pt idx="2">
                    <c:v>5</c:v>
                  </c:pt>
                  <c:pt idx="3">
                    <c:v>5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9</c:v>
                  </c:pt>
                </c:numCache>
              </c:numRef>
            </c:plus>
            <c:minus>
              <c:numRef>
                <c:f>Graphique!$F$20:$F$27</c:f>
                <c:numCache>
                  <c:formatCode>0</c:formatCode>
                  <c:ptCount val="8"/>
                  <c:pt idx="0">
                    <c:v>3</c:v>
                  </c:pt>
                  <c:pt idx="1">
                    <c:v>3</c:v>
                  </c:pt>
                  <c:pt idx="2">
                    <c:v>5</c:v>
                  </c:pt>
                  <c:pt idx="3">
                    <c:v>5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Graphique!$C$20:$C$27</c:f>
              <c:numCache>
                <c:formatCode>0.0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Graphique!$D$20:$D$27</c:f>
              <c:numCache>
                <c:formatCode>0</c:formatCode>
                <c:ptCount val="8"/>
                <c:pt idx="0">
                  <c:v>48</c:v>
                </c:pt>
                <c:pt idx="1">
                  <c:v>102</c:v>
                </c:pt>
                <c:pt idx="2">
                  <c:v>140</c:v>
                </c:pt>
                <c:pt idx="3">
                  <c:v>201</c:v>
                </c:pt>
                <c:pt idx="4">
                  <c:v>251</c:v>
                </c:pt>
                <c:pt idx="5">
                  <c:v>303</c:v>
                </c:pt>
                <c:pt idx="6">
                  <c:v>354</c:v>
                </c:pt>
                <c:pt idx="7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3-417C-B2BD-E242BA3A9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111967"/>
        <c:axId val="1590927439"/>
      </c:scatterChart>
      <c:valAx>
        <c:axId val="166511196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</a:t>
                </a:r>
                <a:r>
                  <a:rPr lang="en-US" baseline="0"/>
                  <a:t> ( W 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27439"/>
        <c:crosses val="autoZero"/>
        <c:crossBetween val="midCat"/>
      </c:valAx>
      <c:valAx>
        <c:axId val="1590927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Résistsance(</a:t>
                </a:r>
                <a:r>
                  <a:rPr lang="el-GR"/>
                  <a:t>Ω</a:t>
                </a:r>
                <a:r>
                  <a:rPr lang="fr-CA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514351</xdr:colOff>
      <xdr:row>16</xdr:row>
      <xdr:rowOff>0</xdr:rowOff>
    </xdr:from>
    <xdr:to>
      <xdr:col>13</xdr:col>
      <xdr:colOff>139701</xdr:colOff>
      <xdr:row>31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2CAA52-0FCB-DF34-B7A0-B97DB250D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outu.be/n6HILxLaV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6A18-A650-419F-8052-0C22133E0772}">
  <dimension ref="B1:M36"/>
  <sheetViews>
    <sheetView tabSelected="1" workbookViewId="0">
      <selection activeCell="V9" sqref="V9"/>
    </sheetView>
  </sheetViews>
  <sheetFormatPr defaultColWidth="10.89453125" defaultRowHeight="15" x14ac:dyDescent="0.2"/>
  <cols>
    <col min="1" max="1" width="3.8984375" customWidth="1"/>
    <col min="2" max="2" width="4.16796875" customWidth="1"/>
    <col min="5" max="5" width="2.95703125" customWidth="1"/>
    <col min="11" max="11" width="6.3203125" customWidth="1"/>
  </cols>
  <sheetData>
    <row r="1" spans="3:10" ht="15.75" thickBot="1" x14ac:dyDescent="0.25"/>
    <row r="2" spans="3:10" ht="15.75" thickBot="1" x14ac:dyDescent="0.25">
      <c r="C2" s="44" t="s">
        <v>24</v>
      </c>
      <c r="D2" s="60" t="s">
        <v>41</v>
      </c>
      <c r="E2" s="61"/>
      <c r="F2" s="62"/>
      <c r="H2" s="44" t="s">
        <v>25</v>
      </c>
      <c r="I2" s="60">
        <v>2618054</v>
      </c>
      <c r="J2" s="62"/>
    </row>
    <row r="3" spans="3:10" x14ac:dyDescent="0.2">
      <c r="F3" s="43" t="s">
        <v>27</v>
      </c>
    </row>
    <row r="4" spans="3:10" x14ac:dyDescent="0.2">
      <c r="D4" s="45" t="s">
        <v>26</v>
      </c>
    </row>
    <row r="5" spans="3:10" x14ac:dyDescent="0.2">
      <c r="F5" s="43">
        <v>10</v>
      </c>
    </row>
    <row r="6" spans="3:10" x14ac:dyDescent="0.2">
      <c r="C6" t="s">
        <v>28</v>
      </c>
    </row>
    <row r="7" spans="3:10" x14ac:dyDescent="0.2">
      <c r="C7" t="s">
        <v>29</v>
      </c>
    </row>
    <row r="8" spans="3:10" x14ac:dyDescent="0.2">
      <c r="C8" t="s">
        <v>30</v>
      </c>
    </row>
    <row r="9" spans="3:10" x14ac:dyDescent="0.2">
      <c r="C9" t="s">
        <v>23</v>
      </c>
    </row>
    <row r="10" spans="3:10" ht="19.350000000000001" customHeight="1" x14ac:dyDescent="0.2">
      <c r="C10" t="s">
        <v>31</v>
      </c>
    </row>
    <row r="11" spans="3:10" x14ac:dyDescent="0.2">
      <c r="C11" s="6" t="s">
        <v>1</v>
      </c>
    </row>
    <row r="12" spans="3:10" x14ac:dyDescent="0.2">
      <c r="C12" s="41" t="s">
        <v>32</v>
      </c>
    </row>
    <row r="14" spans="3:10" x14ac:dyDescent="0.2">
      <c r="C14" t="s">
        <v>40</v>
      </c>
    </row>
    <row r="15" spans="3:10" x14ac:dyDescent="0.2">
      <c r="C15" t="s">
        <v>36</v>
      </c>
    </row>
    <row r="16" spans="3:10" ht="15.75" thickBot="1" x14ac:dyDescent="0.25"/>
    <row r="17" spans="2:9" ht="15.75" thickTop="1" x14ac:dyDescent="0.2">
      <c r="C17" s="1" t="s">
        <v>33</v>
      </c>
      <c r="D17" s="56" t="s">
        <v>37</v>
      </c>
      <c r="E17" s="56"/>
      <c r="F17" s="57"/>
    </row>
    <row r="18" spans="2:9" x14ac:dyDescent="0.2">
      <c r="C18" s="2" t="s">
        <v>34</v>
      </c>
      <c r="D18" s="58" t="s">
        <v>38</v>
      </c>
      <c r="E18" s="58"/>
      <c r="F18" s="59"/>
    </row>
    <row r="19" spans="2:9" ht="15.75" thickBot="1" x14ac:dyDescent="0.25">
      <c r="B19" s="42" t="s">
        <v>0</v>
      </c>
      <c r="C19" s="3">
        <v>0.5</v>
      </c>
      <c r="D19" s="4"/>
      <c r="E19" s="4"/>
      <c r="F19" s="5"/>
    </row>
    <row r="20" spans="2:9" ht="15.75" thickTop="1" x14ac:dyDescent="0.2">
      <c r="C20" s="46">
        <v>5</v>
      </c>
      <c r="D20" s="49">
        <v>48</v>
      </c>
      <c r="E20" t="s">
        <v>0</v>
      </c>
      <c r="F20" s="51">
        <v>3</v>
      </c>
      <c r="I20" s="50"/>
    </row>
    <row r="21" spans="2:9" x14ac:dyDescent="0.2">
      <c r="C21" s="46">
        <v>10</v>
      </c>
      <c r="D21" s="49">
        <v>102</v>
      </c>
      <c r="E21" t="s">
        <v>0</v>
      </c>
      <c r="F21" s="51">
        <v>3</v>
      </c>
      <c r="I21" s="50"/>
    </row>
    <row r="22" spans="2:9" x14ac:dyDescent="0.2">
      <c r="C22" s="46">
        <v>15</v>
      </c>
      <c r="D22" s="49">
        <v>140</v>
      </c>
      <c r="E22" t="s">
        <v>0</v>
      </c>
      <c r="F22" s="51">
        <v>5</v>
      </c>
      <c r="I22" s="50"/>
    </row>
    <row r="23" spans="2:9" x14ac:dyDescent="0.2">
      <c r="C23" s="46">
        <v>20</v>
      </c>
      <c r="D23" s="49">
        <v>201</v>
      </c>
      <c r="E23" t="s">
        <v>0</v>
      </c>
      <c r="F23" s="51">
        <v>5</v>
      </c>
      <c r="I23" s="50"/>
    </row>
    <row r="24" spans="2:9" x14ac:dyDescent="0.2">
      <c r="C24" s="46">
        <v>25</v>
      </c>
      <c r="D24" s="49">
        <v>251</v>
      </c>
      <c r="E24" t="s">
        <v>0</v>
      </c>
      <c r="F24" s="51">
        <v>7</v>
      </c>
      <c r="I24" s="50"/>
    </row>
    <row r="25" spans="2:9" x14ac:dyDescent="0.2">
      <c r="C25" s="46">
        <v>30</v>
      </c>
      <c r="D25" s="49">
        <v>303</v>
      </c>
      <c r="E25" t="s">
        <v>0</v>
      </c>
      <c r="F25" s="51">
        <v>8</v>
      </c>
      <c r="I25" s="50"/>
    </row>
    <row r="26" spans="2:9" x14ac:dyDescent="0.2">
      <c r="C26" s="46">
        <v>35</v>
      </c>
      <c r="D26" s="49">
        <v>354</v>
      </c>
      <c r="E26" t="s">
        <v>0</v>
      </c>
      <c r="F26" s="51">
        <v>9</v>
      </c>
      <c r="I26" s="50"/>
    </row>
    <row r="27" spans="2:9" ht="15.75" thickBot="1" x14ac:dyDescent="0.25">
      <c r="C27" s="46">
        <v>40</v>
      </c>
      <c r="D27" s="52">
        <v>400</v>
      </c>
      <c r="E27" s="48" t="s">
        <v>0</v>
      </c>
      <c r="F27" s="51">
        <v>9</v>
      </c>
      <c r="I27" s="50"/>
    </row>
    <row r="28" spans="2:9" x14ac:dyDescent="0.2">
      <c r="C28" s="47"/>
      <c r="F28" s="47"/>
    </row>
    <row r="29" spans="2:9" x14ac:dyDescent="0.2">
      <c r="C29" t="s">
        <v>35</v>
      </c>
    </row>
    <row r="30" spans="2:9" x14ac:dyDescent="0.2">
      <c r="C30" t="s">
        <v>39</v>
      </c>
    </row>
    <row r="35" spans="9:13" x14ac:dyDescent="0.2">
      <c r="I35" s="44" t="s">
        <v>42</v>
      </c>
      <c r="J35" s="55">
        <v>10.123323758413006</v>
      </c>
      <c r="K35" s="31" t="s">
        <v>0</v>
      </c>
      <c r="L35" s="54">
        <v>0.49305718924334807</v>
      </c>
      <c r="M35" s="53" t="s">
        <v>44</v>
      </c>
    </row>
    <row r="36" spans="9:13" x14ac:dyDescent="0.2">
      <c r="I36" s="44" t="s">
        <v>43</v>
      </c>
      <c r="J36" s="55">
        <v>-2.8560153666509405</v>
      </c>
      <c r="K36" s="31" t="s">
        <v>0</v>
      </c>
      <c r="L36" s="54">
        <v>10.264347859228801</v>
      </c>
      <c r="M36" s="53" t="s">
        <v>45</v>
      </c>
    </row>
  </sheetData>
  <mergeCells count="4">
    <mergeCell ref="D17:F17"/>
    <mergeCell ref="D18:F18"/>
    <mergeCell ref="D2:F2"/>
    <mergeCell ref="I2:J2"/>
  </mergeCells>
  <hyperlinks>
    <hyperlink ref="C11" r:id="rId1" xr:uid="{D572CF5D-46EA-4B57-AB7B-27393D88396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76FB-61C4-422E-9F01-75BCCF71B822}">
  <dimension ref="A1:N49"/>
  <sheetViews>
    <sheetView topLeftCell="A12" workbookViewId="0">
      <selection activeCell="B48" sqref="B48:D48"/>
    </sheetView>
  </sheetViews>
  <sheetFormatPr defaultColWidth="10.89453125" defaultRowHeight="15" x14ac:dyDescent="0.2"/>
  <cols>
    <col min="3" max="3" width="3.49609375" customWidth="1"/>
    <col min="6" max="6" width="3.49609375" customWidth="1"/>
  </cols>
  <sheetData>
    <row r="1" spans="1:14" x14ac:dyDescent="0.2">
      <c r="A1" s="7"/>
      <c r="B1" s="8" t="s">
        <v>2</v>
      </c>
      <c r="C1" s="8"/>
      <c r="D1" s="7"/>
      <c r="E1" s="7"/>
      <c r="F1" s="9"/>
      <c r="G1" s="10"/>
      <c r="H1" s="7" t="s">
        <v>3</v>
      </c>
      <c r="I1" s="7"/>
      <c r="J1" s="9"/>
      <c r="K1" s="11"/>
      <c r="L1" s="11"/>
      <c r="M1" s="10"/>
      <c r="N1" s="10"/>
    </row>
    <row r="2" spans="1:14" x14ac:dyDescent="0.2">
      <c r="A2" s="7"/>
      <c r="B2" s="8" t="s">
        <v>4</v>
      </c>
      <c r="C2" s="8"/>
      <c r="D2" s="7"/>
      <c r="E2" s="7"/>
      <c r="F2" s="9"/>
      <c r="G2" s="7"/>
      <c r="H2" s="9"/>
      <c r="I2" s="7"/>
      <c r="J2" s="9"/>
      <c r="K2" s="11"/>
      <c r="L2" s="11"/>
      <c r="M2" s="10"/>
      <c r="N2" s="10"/>
    </row>
    <row r="3" spans="1:14" x14ac:dyDescent="0.2">
      <c r="A3" s="7"/>
      <c r="B3" s="8"/>
      <c r="C3" s="8"/>
      <c r="D3" s="7"/>
      <c r="E3" s="7"/>
      <c r="F3" s="9"/>
      <c r="G3" s="7"/>
      <c r="H3" s="9"/>
      <c r="I3" s="7"/>
      <c r="J3" s="9"/>
      <c r="K3" s="11"/>
      <c r="L3" s="11"/>
      <c r="M3" s="10"/>
      <c r="N3" s="10"/>
    </row>
    <row r="4" spans="1:14" x14ac:dyDescent="0.2">
      <c r="A4" s="7"/>
      <c r="B4" s="8" t="s">
        <v>5</v>
      </c>
      <c r="C4" s="8"/>
      <c r="D4" s="7"/>
      <c r="E4" s="7"/>
      <c r="F4" s="9"/>
      <c r="G4" s="7"/>
      <c r="H4" s="9"/>
      <c r="I4" s="7"/>
      <c r="J4" s="9"/>
      <c r="K4" s="11"/>
      <c r="L4" s="11"/>
      <c r="M4" s="10"/>
      <c r="N4" s="10"/>
    </row>
    <row r="5" spans="1:14" x14ac:dyDescent="0.2">
      <c r="A5" s="7"/>
      <c r="B5" s="8" t="s">
        <v>6</v>
      </c>
      <c r="C5" s="8"/>
      <c r="D5" s="7"/>
      <c r="E5" s="7"/>
      <c r="F5" s="9"/>
      <c r="G5" s="7"/>
      <c r="H5" s="9"/>
      <c r="I5" s="7"/>
      <c r="J5" s="9"/>
      <c r="K5" s="11"/>
      <c r="L5" s="11"/>
      <c r="M5" s="10"/>
      <c r="N5" s="10"/>
    </row>
    <row r="6" spans="1:14" x14ac:dyDescent="0.2">
      <c r="A6" s="7"/>
      <c r="B6" s="8" t="s">
        <v>7</v>
      </c>
      <c r="C6" s="8"/>
      <c r="D6" s="7"/>
      <c r="E6" s="7"/>
      <c r="F6" s="9"/>
      <c r="G6" s="7"/>
      <c r="H6" s="9"/>
      <c r="I6" s="7"/>
      <c r="J6" s="9"/>
      <c r="K6" s="11"/>
      <c r="L6" s="11"/>
      <c r="M6" s="10"/>
      <c r="N6" s="10"/>
    </row>
    <row r="7" spans="1:14" x14ac:dyDescent="0.2">
      <c r="A7" s="7"/>
      <c r="B7" s="8" t="s">
        <v>8</v>
      </c>
      <c r="C7" s="8"/>
      <c r="D7" s="7"/>
      <c r="E7" s="7"/>
      <c r="F7" s="9"/>
      <c r="G7" s="7"/>
      <c r="H7" s="9"/>
      <c r="I7" s="7"/>
      <c r="J7" s="9"/>
      <c r="K7" s="11"/>
      <c r="L7" s="11"/>
      <c r="M7" s="10"/>
      <c r="N7" s="10"/>
    </row>
    <row r="8" spans="1:14" x14ac:dyDescent="0.2">
      <c r="A8" s="7" t="s">
        <v>9</v>
      </c>
      <c r="B8" s="10"/>
      <c r="C8" s="12" t="s">
        <v>10</v>
      </c>
      <c r="D8" s="12"/>
      <c r="E8" s="10"/>
      <c r="F8" s="12" t="s">
        <v>11</v>
      </c>
      <c r="G8" s="13"/>
      <c r="H8" s="14" t="s">
        <v>12</v>
      </c>
      <c r="I8" s="12" t="s">
        <v>13</v>
      </c>
      <c r="J8" s="14" t="s">
        <v>14</v>
      </c>
      <c r="K8" s="13" t="s">
        <v>15</v>
      </c>
      <c r="L8" s="14" t="s">
        <v>16</v>
      </c>
      <c r="M8" s="15" t="s">
        <v>17</v>
      </c>
      <c r="N8" s="11" t="s">
        <v>18</v>
      </c>
    </row>
    <row r="9" spans="1:14" ht="15.75" thickBot="1" x14ac:dyDescent="0.25">
      <c r="A9" s="16">
        <v>1</v>
      </c>
      <c r="B9" s="46">
        <v>5</v>
      </c>
      <c r="C9" s="17" t="s">
        <v>0</v>
      </c>
      <c r="D9" s="3">
        <v>0.5</v>
      </c>
      <c r="E9" s="49">
        <v>48</v>
      </c>
      <c r="F9" s="17" t="s">
        <v>0</v>
      </c>
      <c r="G9" s="51">
        <v>3</v>
      </c>
      <c r="H9" s="18">
        <f>IF(B9="","",1/(G9^2+$M$9^2*D9^2))</f>
        <v>2.8772321027171859E-2</v>
      </c>
      <c r="I9" s="19">
        <f t="shared" ref="I9:I38" si="0">IF(B9="","",B9*$H9)</f>
        <v>0.1438616051358593</v>
      </c>
      <c r="J9" s="18">
        <f t="shared" ref="J9:J38" si="1">IF(E9="","",E9*$H9)</f>
        <v>1.3810714093042491</v>
      </c>
      <c r="K9" s="19">
        <f t="shared" ref="K9:K38" si="2">IF($B9="","",B9^2*H9)</f>
        <v>0.71930802567929641</v>
      </c>
      <c r="L9" s="18">
        <f t="shared" ref="L9:L38" si="3">IF(B9="","",B9*E9*H9)</f>
        <v>6.9053570465212459</v>
      </c>
      <c r="M9" s="20">
        <f>IF(B9="","",SLOPE(E9:E38,B9:B38))</f>
        <v>10.15</v>
      </c>
      <c r="N9" s="20">
        <f>IF(B9="","",RSQ(E9:E38,B9:B38))</f>
        <v>0.99897261736692233</v>
      </c>
    </row>
    <row r="10" spans="1:14" ht="16.5" thickTop="1" thickBot="1" x14ac:dyDescent="0.25">
      <c r="A10" s="16">
        <v>2</v>
      </c>
      <c r="B10" s="46">
        <v>10</v>
      </c>
      <c r="C10" s="17" t="s">
        <v>0</v>
      </c>
      <c r="D10" s="3">
        <v>0.5</v>
      </c>
      <c r="E10" s="49">
        <v>102</v>
      </c>
      <c r="F10" s="17" t="s">
        <v>0</v>
      </c>
      <c r="G10" s="51">
        <v>3</v>
      </c>
      <c r="H10" s="18">
        <f t="shared" ref="H10:H38" si="4">IF(B10="","",1/(G10^2+$M$9^2*D10^2))</f>
        <v>2.8772321027171859E-2</v>
      </c>
      <c r="I10" s="19">
        <f t="shared" si="0"/>
        <v>0.2877232102717186</v>
      </c>
      <c r="J10" s="18">
        <f t="shared" si="1"/>
        <v>2.9347767447715296</v>
      </c>
      <c r="K10" s="19">
        <f t="shared" si="2"/>
        <v>2.8772321027171857</v>
      </c>
      <c r="L10" s="18">
        <f t="shared" si="3"/>
        <v>29.347767447715295</v>
      </c>
      <c r="M10" s="11"/>
      <c r="N10" s="11"/>
    </row>
    <row r="11" spans="1:14" ht="16.5" thickTop="1" thickBot="1" x14ac:dyDescent="0.25">
      <c r="A11" s="16">
        <v>3</v>
      </c>
      <c r="B11" s="46">
        <v>15</v>
      </c>
      <c r="C11" s="17" t="s">
        <v>0</v>
      </c>
      <c r="D11" s="3">
        <v>0.5</v>
      </c>
      <c r="E11" s="49">
        <v>140</v>
      </c>
      <c r="F11" s="17" t="s">
        <v>0</v>
      </c>
      <c r="G11" s="51">
        <v>5</v>
      </c>
      <c r="H11" s="18">
        <f t="shared" si="4"/>
        <v>1.97022497506434E-2</v>
      </c>
      <c r="I11" s="19">
        <f t="shared" si="0"/>
        <v>0.29553374625965101</v>
      </c>
      <c r="J11" s="18">
        <f t="shared" si="1"/>
        <v>2.7583149650900758</v>
      </c>
      <c r="K11" s="19">
        <f t="shared" si="2"/>
        <v>4.4330061938947649</v>
      </c>
      <c r="L11" s="18">
        <f t="shared" si="3"/>
        <v>41.37472447635114</v>
      </c>
      <c r="M11" s="11"/>
      <c r="N11" s="11"/>
    </row>
    <row r="12" spans="1:14" ht="16.5" thickTop="1" thickBot="1" x14ac:dyDescent="0.25">
      <c r="A12" s="16">
        <v>4</v>
      </c>
      <c r="B12" s="46">
        <v>20</v>
      </c>
      <c r="C12" s="17" t="s">
        <v>0</v>
      </c>
      <c r="D12" s="3">
        <v>0.5</v>
      </c>
      <c r="E12" s="49">
        <v>201</v>
      </c>
      <c r="F12" s="17" t="s">
        <v>0</v>
      </c>
      <c r="G12" s="51">
        <v>5</v>
      </c>
      <c r="H12" s="18">
        <f t="shared" si="4"/>
        <v>1.97022497506434E-2</v>
      </c>
      <c r="I12" s="19">
        <f t="shared" si="0"/>
        <v>0.39404499501286799</v>
      </c>
      <c r="J12" s="18">
        <f t="shared" si="1"/>
        <v>3.9601521998793232</v>
      </c>
      <c r="K12" s="19">
        <f t="shared" si="2"/>
        <v>7.8808999002573596</v>
      </c>
      <c r="L12" s="18">
        <f t="shared" si="3"/>
        <v>79.203043997586462</v>
      </c>
      <c r="M12" s="11"/>
      <c r="N12" s="11"/>
    </row>
    <row r="13" spans="1:14" ht="16.5" thickTop="1" thickBot="1" x14ac:dyDescent="0.25">
      <c r="A13" s="16">
        <v>5</v>
      </c>
      <c r="B13" s="46">
        <v>25</v>
      </c>
      <c r="C13" s="17" t="s">
        <v>0</v>
      </c>
      <c r="D13" s="3">
        <v>0.5</v>
      </c>
      <c r="E13" s="49">
        <v>251</v>
      </c>
      <c r="F13" s="17" t="s">
        <v>0</v>
      </c>
      <c r="G13" s="51">
        <v>7</v>
      </c>
      <c r="H13" s="18">
        <f t="shared" si="4"/>
        <v>1.3376919797005241E-2</v>
      </c>
      <c r="I13" s="19">
        <f t="shared" si="0"/>
        <v>0.334422994925131</v>
      </c>
      <c r="J13" s="18">
        <f t="shared" si="1"/>
        <v>3.3576068690483152</v>
      </c>
      <c r="K13" s="19">
        <f t="shared" si="2"/>
        <v>8.3605748731282752</v>
      </c>
      <c r="L13" s="18">
        <f t="shared" si="3"/>
        <v>83.940171726207879</v>
      </c>
      <c r="M13" s="11"/>
      <c r="N13" s="11"/>
    </row>
    <row r="14" spans="1:14" ht="16.5" thickTop="1" thickBot="1" x14ac:dyDescent="0.25">
      <c r="A14" s="16">
        <v>6</v>
      </c>
      <c r="B14" s="46">
        <v>30</v>
      </c>
      <c r="C14" s="17" t="s">
        <v>0</v>
      </c>
      <c r="D14" s="3">
        <v>0.5</v>
      </c>
      <c r="E14" s="49">
        <v>303</v>
      </c>
      <c r="F14" s="17" t="s">
        <v>0</v>
      </c>
      <c r="G14" s="51">
        <v>8</v>
      </c>
      <c r="H14" s="18">
        <f t="shared" si="4"/>
        <v>1.1141363006496806E-2</v>
      </c>
      <c r="I14" s="19">
        <f t="shared" si="0"/>
        <v>0.33424089019490416</v>
      </c>
      <c r="J14" s="18">
        <f t="shared" si="1"/>
        <v>3.3758329909685321</v>
      </c>
      <c r="K14" s="19">
        <f t="shared" si="2"/>
        <v>10.027226705847125</v>
      </c>
      <c r="L14" s="18">
        <f t="shared" si="3"/>
        <v>101.27498972905597</v>
      </c>
      <c r="M14" s="11"/>
      <c r="N14" s="11"/>
    </row>
    <row r="15" spans="1:14" ht="16.5" thickTop="1" thickBot="1" x14ac:dyDescent="0.25">
      <c r="A15" s="16">
        <v>7</v>
      </c>
      <c r="B15" s="46">
        <v>35</v>
      </c>
      <c r="C15" s="17" t="s">
        <v>0</v>
      </c>
      <c r="D15" s="3">
        <v>0.5</v>
      </c>
      <c r="E15" s="49">
        <v>354</v>
      </c>
      <c r="F15" s="17" t="s">
        <v>0</v>
      </c>
      <c r="G15" s="51">
        <v>9</v>
      </c>
      <c r="H15" s="18">
        <f t="shared" si="4"/>
        <v>9.3671879116439989E-3</v>
      </c>
      <c r="I15" s="19">
        <f t="shared" si="0"/>
        <v>0.32785157690753997</v>
      </c>
      <c r="J15" s="18">
        <f t="shared" si="1"/>
        <v>3.3159845207219756</v>
      </c>
      <c r="K15" s="19">
        <f t="shared" si="2"/>
        <v>11.474805191763899</v>
      </c>
      <c r="L15" s="18">
        <f t="shared" si="3"/>
        <v>116.05945822526914</v>
      </c>
      <c r="M15" s="11"/>
      <c r="N15" s="11"/>
    </row>
    <row r="16" spans="1:14" ht="16.5" thickTop="1" thickBot="1" x14ac:dyDescent="0.25">
      <c r="A16" s="16">
        <v>8</v>
      </c>
      <c r="B16" s="46">
        <v>40</v>
      </c>
      <c r="C16" s="17" t="s">
        <v>0</v>
      </c>
      <c r="D16" s="3">
        <v>0.5</v>
      </c>
      <c r="E16" s="52">
        <v>400</v>
      </c>
      <c r="F16" s="17" t="s">
        <v>0</v>
      </c>
      <c r="G16" s="51">
        <v>9</v>
      </c>
      <c r="H16" s="18">
        <f t="shared" si="4"/>
        <v>9.3671879116439989E-3</v>
      </c>
      <c r="I16" s="19">
        <f t="shared" si="0"/>
        <v>0.37468751646575993</v>
      </c>
      <c r="J16" s="18">
        <f t="shared" si="1"/>
        <v>3.7468751646575997</v>
      </c>
      <c r="K16" s="19">
        <f t="shared" si="2"/>
        <v>14.987500658630399</v>
      </c>
      <c r="L16" s="18">
        <f t="shared" si="3"/>
        <v>149.87500658630398</v>
      </c>
      <c r="M16" s="11"/>
      <c r="N16" s="11"/>
    </row>
    <row r="17" spans="1:14" ht="15.75" thickTop="1" x14ac:dyDescent="0.2">
      <c r="A17" s="16">
        <v>9</v>
      </c>
      <c r="B17" s="37"/>
      <c r="C17" s="17" t="s">
        <v>0</v>
      </c>
      <c r="D17" s="40"/>
      <c r="E17" s="38"/>
      <c r="F17" s="17" t="s">
        <v>0</v>
      </c>
      <c r="G17" s="39"/>
      <c r="H17" s="18" t="str">
        <f t="shared" si="4"/>
        <v/>
      </c>
      <c r="I17" s="19" t="str">
        <f t="shared" si="0"/>
        <v/>
      </c>
      <c r="J17" s="18" t="str">
        <f t="shared" si="1"/>
        <v/>
      </c>
      <c r="K17" s="19" t="str">
        <f t="shared" si="2"/>
        <v/>
      </c>
      <c r="L17" s="18" t="str">
        <f t="shared" si="3"/>
        <v/>
      </c>
      <c r="M17" s="11"/>
      <c r="N17" s="11"/>
    </row>
    <row r="18" spans="1:14" x14ac:dyDescent="0.2">
      <c r="A18" s="16">
        <v>10</v>
      </c>
      <c r="B18" s="37"/>
      <c r="C18" s="17" t="s">
        <v>0</v>
      </c>
      <c r="D18" s="40"/>
      <c r="E18" s="38"/>
      <c r="F18" s="17" t="s">
        <v>0</v>
      </c>
      <c r="G18" s="39"/>
      <c r="H18" s="18" t="str">
        <f t="shared" si="4"/>
        <v/>
      </c>
      <c r="I18" s="19" t="str">
        <f t="shared" si="0"/>
        <v/>
      </c>
      <c r="J18" s="18" t="str">
        <f t="shared" si="1"/>
        <v/>
      </c>
      <c r="K18" s="19" t="str">
        <f t="shared" si="2"/>
        <v/>
      </c>
      <c r="L18" s="18" t="str">
        <f t="shared" si="3"/>
        <v/>
      </c>
      <c r="M18" s="11"/>
      <c r="N18" s="11"/>
    </row>
    <row r="19" spans="1:14" x14ac:dyDescent="0.2">
      <c r="A19" s="16">
        <v>11</v>
      </c>
      <c r="B19" s="17"/>
      <c r="C19" s="17" t="s">
        <v>0</v>
      </c>
      <c r="D19" s="21"/>
      <c r="E19" s="17"/>
      <c r="F19" s="17" t="s">
        <v>0</v>
      </c>
      <c r="G19" s="17"/>
      <c r="H19" s="18" t="str">
        <f t="shared" si="4"/>
        <v/>
      </c>
      <c r="I19" s="19" t="str">
        <f t="shared" si="0"/>
        <v/>
      </c>
      <c r="J19" s="18" t="str">
        <f t="shared" si="1"/>
        <v/>
      </c>
      <c r="K19" s="19" t="str">
        <f t="shared" si="2"/>
        <v/>
      </c>
      <c r="L19" s="18" t="str">
        <f t="shared" si="3"/>
        <v/>
      </c>
      <c r="M19" s="11"/>
      <c r="N19" s="11"/>
    </row>
    <row r="20" spans="1:14" x14ac:dyDescent="0.2">
      <c r="A20" s="16">
        <v>12</v>
      </c>
      <c r="B20" s="17"/>
      <c r="C20" s="17" t="s">
        <v>0</v>
      </c>
      <c r="D20" s="21"/>
      <c r="E20" s="17"/>
      <c r="F20" s="17" t="s">
        <v>0</v>
      </c>
      <c r="G20" s="17"/>
      <c r="H20" s="18" t="str">
        <f t="shared" si="4"/>
        <v/>
      </c>
      <c r="I20" s="19" t="str">
        <f t="shared" si="0"/>
        <v/>
      </c>
      <c r="J20" s="18" t="str">
        <f t="shared" si="1"/>
        <v/>
      </c>
      <c r="K20" s="19" t="str">
        <f t="shared" si="2"/>
        <v/>
      </c>
      <c r="L20" s="18" t="str">
        <f t="shared" si="3"/>
        <v/>
      </c>
      <c r="M20" s="11"/>
      <c r="N20" s="11"/>
    </row>
    <row r="21" spans="1:14" x14ac:dyDescent="0.2">
      <c r="A21" s="16">
        <v>13</v>
      </c>
      <c r="B21" s="17"/>
      <c r="C21" s="17" t="s">
        <v>0</v>
      </c>
      <c r="D21" s="21"/>
      <c r="E21" s="17"/>
      <c r="F21" s="17" t="s">
        <v>0</v>
      </c>
      <c r="G21" s="17"/>
      <c r="H21" s="18" t="str">
        <f t="shared" si="4"/>
        <v/>
      </c>
      <c r="I21" s="19" t="str">
        <f t="shared" si="0"/>
        <v/>
      </c>
      <c r="J21" s="18" t="str">
        <f t="shared" si="1"/>
        <v/>
      </c>
      <c r="K21" s="19" t="str">
        <f t="shared" si="2"/>
        <v/>
      </c>
      <c r="L21" s="18" t="str">
        <f t="shared" si="3"/>
        <v/>
      </c>
      <c r="M21" s="11"/>
      <c r="N21" s="11"/>
    </row>
    <row r="22" spans="1:14" x14ac:dyDescent="0.2">
      <c r="A22" s="16">
        <v>14</v>
      </c>
      <c r="B22" s="17"/>
      <c r="C22" s="17" t="s">
        <v>0</v>
      </c>
      <c r="D22" s="21"/>
      <c r="E22" s="17"/>
      <c r="F22" s="17" t="s">
        <v>0</v>
      </c>
      <c r="G22" s="17"/>
      <c r="H22" s="18" t="str">
        <f t="shared" si="4"/>
        <v/>
      </c>
      <c r="I22" s="19" t="str">
        <f t="shared" si="0"/>
        <v/>
      </c>
      <c r="J22" s="18" t="str">
        <f t="shared" si="1"/>
        <v/>
      </c>
      <c r="K22" s="19" t="str">
        <f t="shared" si="2"/>
        <v/>
      </c>
      <c r="L22" s="18" t="str">
        <f t="shared" si="3"/>
        <v/>
      </c>
      <c r="M22" s="11"/>
      <c r="N22" s="11"/>
    </row>
    <row r="23" spans="1:14" x14ac:dyDescent="0.2">
      <c r="A23" s="16">
        <v>15</v>
      </c>
      <c r="B23" s="17"/>
      <c r="C23" s="17" t="s">
        <v>0</v>
      </c>
      <c r="D23" s="21"/>
      <c r="E23" s="17"/>
      <c r="F23" s="17" t="s">
        <v>0</v>
      </c>
      <c r="G23" s="17"/>
      <c r="H23" s="18" t="str">
        <f t="shared" si="4"/>
        <v/>
      </c>
      <c r="I23" s="19" t="str">
        <f t="shared" si="0"/>
        <v/>
      </c>
      <c r="J23" s="18" t="str">
        <f t="shared" si="1"/>
        <v/>
      </c>
      <c r="K23" s="19" t="str">
        <f t="shared" si="2"/>
        <v/>
      </c>
      <c r="L23" s="18" t="str">
        <f t="shared" si="3"/>
        <v/>
      </c>
      <c r="M23" s="11"/>
      <c r="N23" s="11"/>
    </row>
    <row r="24" spans="1:14" x14ac:dyDescent="0.2">
      <c r="A24" s="16">
        <v>16</v>
      </c>
      <c r="B24" s="17"/>
      <c r="C24" s="17" t="s">
        <v>0</v>
      </c>
      <c r="D24" s="21"/>
      <c r="E24" s="17"/>
      <c r="F24" s="17" t="s">
        <v>0</v>
      </c>
      <c r="G24" s="17"/>
      <c r="H24" s="18" t="str">
        <f t="shared" si="4"/>
        <v/>
      </c>
      <c r="I24" s="19" t="str">
        <f t="shared" si="0"/>
        <v/>
      </c>
      <c r="J24" s="18" t="str">
        <f t="shared" si="1"/>
        <v/>
      </c>
      <c r="K24" s="19" t="str">
        <f t="shared" si="2"/>
        <v/>
      </c>
      <c r="L24" s="18" t="str">
        <f t="shared" si="3"/>
        <v/>
      </c>
      <c r="M24" s="11"/>
      <c r="N24" s="11"/>
    </row>
    <row r="25" spans="1:14" x14ac:dyDescent="0.2">
      <c r="A25" s="16">
        <v>17</v>
      </c>
      <c r="B25" s="17"/>
      <c r="C25" s="17" t="s">
        <v>0</v>
      </c>
      <c r="D25" s="21"/>
      <c r="E25" s="17"/>
      <c r="F25" s="17" t="s">
        <v>0</v>
      </c>
      <c r="G25" s="17"/>
      <c r="H25" s="18" t="str">
        <f t="shared" si="4"/>
        <v/>
      </c>
      <c r="I25" s="19" t="str">
        <f t="shared" si="0"/>
        <v/>
      </c>
      <c r="J25" s="18" t="str">
        <f t="shared" si="1"/>
        <v/>
      </c>
      <c r="K25" s="19" t="str">
        <f t="shared" si="2"/>
        <v/>
      </c>
      <c r="L25" s="18" t="str">
        <f t="shared" si="3"/>
        <v/>
      </c>
      <c r="M25" s="11"/>
      <c r="N25" s="11"/>
    </row>
    <row r="26" spans="1:14" x14ac:dyDescent="0.2">
      <c r="A26" s="16">
        <v>18</v>
      </c>
      <c r="B26" s="17"/>
      <c r="C26" s="17" t="s">
        <v>0</v>
      </c>
      <c r="D26" s="21"/>
      <c r="E26" s="17"/>
      <c r="F26" s="17" t="s">
        <v>0</v>
      </c>
      <c r="G26" s="17"/>
      <c r="H26" s="18" t="str">
        <f t="shared" si="4"/>
        <v/>
      </c>
      <c r="I26" s="19" t="str">
        <f t="shared" si="0"/>
        <v/>
      </c>
      <c r="J26" s="18" t="str">
        <f t="shared" si="1"/>
        <v/>
      </c>
      <c r="K26" s="19" t="str">
        <f t="shared" si="2"/>
        <v/>
      </c>
      <c r="L26" s="18" t="str">
        <f t="shared" si="3"/>
        <v/>
      </c>
      <c r="M26" s="11"/>
      <c r="N26" s="11"/>
    </row>
    <row r="27" spans="1:14" x14ac:dyDescent="0.2">
      <c r="A27" s="16">
        <v>19</v>
      </c>
      <c r="B27" s="17"/>
      <c r="C27" s="17" t="s">
        <v>0</v>
      </c>
      <c r="D27" s="21"/>
      <c r="E27" s="17"/>
      <c r="F27" s="17" t="s">
        <v>0</v>
      </c>
      <c r="G27" s="17"/>
      <c r="H27" s="18" t="str">
        <f t="shared" si="4"/>
        <v/>
      </c>
      <c r="I27" s="19" t="str">
        <f t="shared" si="0"/>
        <v/>
      </c>
      <c r="J27" s="18" t="str">
        <f t="shared" si="1"/>
        <v/>
      </c>
      <c r="K27" s="19" t="str">
        <f t="shared" si="2"/>
        <v/>
      </c>
      <c r="L27" s="18" t="str">
        <f t="shared" si="3"/>
        <v/>
      </c>
      <c r="M27" s="11"/>
      <c r="N27" s="11"/>
    </row>
    <row r="28" spans="1:14" x14ac:dyDescent="0.2">
      <c r="A28" s="16">
        <v>20</v>
      </c>
      <c r="B28" s="17"/>
      <c r="C28" s="17" t="s">
        <v>0</v>
      </c>
      <c r="D28" s="21"/>
      <c r="E28" s="17"/>
      <c r="F28" s="17" t="s">
        <v>0</v>
      </c>
      <c r="G28" s="17"/>
      <c r="H28" s="18" t="str">
        <f t="shared" si="4"/>
        <v/>
      </c>
      <c r="I28" s="19" t="str">
        <f t="shared" si="0"/>
        <v/>
      </c>
      <c r="J28" s="18" t="str">
        <f t="shared" si="1"/>
        <v/>
      </c>
      <c r="K28" s="19" t="str">
        <f t="shared" si="2"/>
        <v/>
      </c>
      <c r="L28" s="18" t="str">
        <f t="shared" si="3"/>
        <v/>
      </c>
      <c r="M28" s="11"/>
      <c r="N28" s="11"/>
    </row>
    <row r="29" spans="1:14" x14ac:dyDescent="0.2">
      <c r="A29" s="16">
        <v>21</v>
      </c>
      <c r="B29" s="17"/>
      <c r="C29" s="17" t="s">
        <v>0</v>
      </c>
      <c r="D29" s="21"/>
      <c r="E29" s="17"/>
      <c r="F29" s="17" t="s">
        <v>0</v>
      </c>
      <c r="G29" s="17"/>
      <c r="H29" s="18" t="str">
        <f t="shared" si="4"/>
        <v/>
      </c>
      <c r="I29" s="19" t="str">
        <f t="shared" si="0"/>
        <v/>
      </c>
      <c r="J29" s="18" t="str">
        <f t="shared" si="1"/>
        <v/>
      </c>
      <c r="K29" s="19" t="str">
        <f t="shared" si="2"/>
        <v/>
      </c>
      <c r="L29" s="18" t="str">
        <f t="shared" si="3"/>
        <v/>
      </c>
      <c r="M29" s="11"/>
      <c r="N29" s="11"/>
    </row>
    <row r="30" spans="1:14" x14ac:dyDescent="0.2">
      <c r="A30" s="16">
        <v>22</v>
      </c>
      <c r="B30" s="17"/>
      <c r="C30" s="17" t="s">
        <v>0</v>
      </c>
      <c r="D30" s="21"/>
      <c r="E30" s="17"/>
      <c r="F30" s="17" t="s">
        <v>0</v>
      </c>
      <c r="G30" s="17"/>
      <c r="H30" s="18" t="str">
        <f t="shared" si="4"/>
        <v/>
      </c>
      <c r="I30" s="19" t="str">
        <f t="shared" si="0"/>
        <v/>
      </c>
      <c r="J30" s="18" t="str">
        <f t="shared" si="1"/>
        <v/>
      </c>
      <c r="K30" s="19" t="str">
        <f t="shared" si="2"/>
        <v/>
      </c>
      <c r="L30" s="18" t="str">
        <f t="shared" si="3"/>
        <v/>
      </c>
      <c r="M30" s="11"/>
      <c r="N30" s="11"/>
    </row>
    <row r="31" spans="1:14" x14ac:dyDescent="0.2">
      <c r="A31" s="16">
        <v>23</v>
      </c>
      <c r="B31" s="17"/>
      <c r="C31" s="17" t="s">
        <v>0</v>
      </c>
      <c r="D31" s="21"/>
      <c r="E31" s="17"/>
      <c r="F31" s="17" t="s">
        <v>0</v>
      </c>
      <c r="G31" s="17"/>
      <c r="H31" s="18" t="str">
        <f t="shared" si="4"/>
        <v/>
      </c>
      <c r="I31" s="19" t="str">
        <f t="shared" si="0"/>
        <v/>
      </c>
      <c r="J31" s="18" t="str">
        <f t="shared" si="1"/>
        <v/>
      </c>
      <c r="K31" s="19" t="str">
        <f t="shared" si="2"/>
        <v/>
      </c>
      <c r="L31" s="18" t="str">
        <f t="shared" si="3"/>
        <v/>
      </c>
      <c r="M31" s="11"/>
      <c r="N31" s="11"/>
    </row>
    <row r="32" spans="1:14" x14ac:dyDescent="0.2">
      <c r="A32" s="16">
        <v>24</v>
      </c>
      <c r="B32" s="17"/>
      <c r="C32" s="17" t="s">
        <v>0</v>
      </c>
      <c r="D32" s="21"/>
      <c r="E32" s="17"/>
      <c r="F32" s="17" t="s">
        <v>0</v>
      </c>
      <c r="G32" s="17"/>
      <c r="H32" s="18" t="str">
        <f t="shared" si="4"/>
        <v/>
      </c>
      <c r="I32" s="19" t="str">
        <f t="shared" si="0"/>
        <v/>
      </c>
      <c r="J32" s="18" t="str">
        <f t="shared" si="1"/>
        <v/>
      </c>
      <c r="K32" s="19" t="str">
        <f t="shared" si="2"/>
        <v/>
      </c>
      <c r="L32" s="18" t="str">
        <f t="shared" si="3"/>
        <v/>
      </c>
      <c r="M32" s="11"/>
      <c r="N32" s="11"/>
    </row>
    <row r="33" spans="1:14" x14ac:dyDescent="0.2">
      <c r="A33" s="16">
        <v>25</v>
      </c>
      <c r="B33" s="17"/>
      <c r="C33" s="17" t="s">
        <v>0</v>
      </c>
      <c r="D33" s="21"/>
      <c r="E33" s="17"/>
      <c r="F33" s="17" t="s">
        <v>0</v>
      </c>
      <c r="G33" s="17"/>
      <c r="H33" s="18" t="str">
        <f t="shared" si="4"/>
        <v/>
      </c>
      <c r="I33" s="19" t="str">
        <f t="shared" si="0"/>
        <v/>
      </c>
      <c r="J33" s="18" t="str">
        <f t="shared" si="1"/>
        <v/>
      </c>
      <c r="K33" s="19" t="str">
        <f t="shared" si="2"/>
        <v/>
      </c>
      <c r="L33" s="18" t="str">
        <f t="shared" si="3"/>
        <v/>
      </c>
      <c r="M33" s="11"/>
      <c r="N33" s="11"/>
    </row>
    <row r="34" spans="1:14" x14ac:dyDescent="0.2">
      <c r="A34" s="16">
        <v>26</v>
      </c>
      <c r="B34" s="17"/>
      <c r="C34" s="17" t="s">
        <v>0</v>
      </c>
      <c r="D34" s="21"/>
      <c r="E34" s="17"/>
      <c r="F34" s="17" t="s">
        <v>0</v>
      </c>
      <c r="G34" s="17"/>
      <c r="H34" s="18" t="str">
        <f t="shared" si="4"/>
        <v/>
      </c>
      <c r="I34" s="19" t="str">
        <f t="shared" si="0"/>
        <v/>
      </c>
      <c r="J34" s="18" t="str">
        <f t="shared" si="1"/>
        <v/>
      </c>
      <c r="K34" s="19" t="str">
        <f t="shared" si="2"/>
        <v/>
      </c>
      <c r="L34" s="18" t="str">
        <f t="shared" si="3"/>
        <v/>
      </c>
      <c r="M34" s="11"/>
      <c r="N34" s="11"/>
    </row>
    <row r="35" spans="1:14" x14ac:dyDescent="0.2">
      <c r="A35" s="16">
        <v>27</v>
      </c>
      <c r="B35" s="17"/>
      <c r="C35" s="17" t="s">
        <v>0</v>
      </c>
      <c r="D35" s="21"/>
      <c r="E35" s="17"/>
      <c r="F35" s="17" t="s">
        <v>0</v>
      </c>
      <c r="G35" s="17"/>
      <c r="H35" s="18" t="str">
        <f t="shared" si="4"/>
        <v/>
      </c>
      <c r="I35" s="19" t="str">
        <f t="shared" si="0"/>
        <v/>
      </c>
      <c r="J35" s="18" t="str">
        <f t="shared" si="1"/>
        <v/>
      </c>
      <c r="K35" s="19" t="str">
        <f t="shared" si="2"/>
        <v/>
      </c>
      <c r="L35" s="18" t="str">
        <f t="shared" si="3"/>
        <v/>
      </c>
      <c r="M35" s="11"/>
      <c r="N35" s="11"/>
    </row>
    <row r="36" spans="1:14" x14ac:dyDescent="0.2">
      <c r="A36" s="16">
        <v>28</v>
      </c>
      <c r="B36" s="17"/>
      <c r="C36" s="17" t="s">
        <v>0</v>
      </c>
      <c r="D36" s="21"/>
      <c r="E36" s="17"/>
      <c r="F36" s="17" t="s">
        <v>0</v>
      </c>
      <c r="G36" s="17"/>
      <c r="H36" s="18" t="str">
        <f t="shared" si="4"/>
        <v/>
      </c>
      <c r="I36" s="19" t="str">
        <f t="shared" si="0"/>
        <v/>
      </c>
      <c r="J36" s="18" t="str">
        <f t="shared" si="1"/>
        <v/>
      </c>
      <c r="K36" s="19" t="str">
        <f t="shared" si="2"/>
        <v/>
      </c>
      <c r="L36" s="18" t="str">
        <f t="shared" si="3"/>
        <v/>
      </c>
      <c r="M36" s="11"/>
      <c r="N36" s="11"/>
    </row>
    <row r="37" spans="1:14" x14ac:dyDescent="0.2">
      <c r="A37" s="16">
        <v>29</v>
      </c>
      <c r="B37" s="17"/>
      <c r="C37" s="17" t="s">
        <v>0</v>
      </c>
      <c r="D37" s="21"/>
      <c r="E37" s="17"/>
      <c r="F37" s="17" t="s">
        <v>0</v>
      </c>
      <c r="G37" s="17"/>
      <c r="H37" s="18" t="str">
        <f t="shared" si="4"/>
        <v/>
      </c>
      <c r="I37" s="19" t="str">
        <f t="shared" si="0"/>
        <v/>
      </c>
      <c r="J37" s="18" t="str">
        <f t="shared" si="1"/>
        <v/>
      </c>
      <c r="K37" s="19" t="str">
        <f t="shared" si="2"/>
        <v/>
      </c>
      <c r="L37" s="18" t="str">
        <f t="shared" si="3"/>
        <v/>
      </c>
      <c r="M37" s="11"/>
      <c r="N37" s="11"/>
    </row>
    <row r="38" spans="1:14" x14ac:dyDescent="0.2">
      <c r="A38" s="16">
        <v>30</v>
      </c>
      <c r="B38" s="17"/>
      <c r="C38" s="17" t="s">
        <v>0</v>
      </c>
      <c r="D38" s="21"/>
      <c r="E38" s="17"/>
      <c r="F38" s="17" t="s">
        <v>0</v>
      </c>
      <c r="G38" s="17"/>
      <c r="H38" s="18" t="str">
        <f t="shared" si="4"/>
        <v/>
      </c>
      <c r="I38" s="19" t="str">
        <f t="shared" si="0"/>
        <v/>
      </c>
      <c r="J38" s="18" t="str">
        <f t="shared" si="1"/>
        <v/>
      </c>
      <c r="K38" s="19" t="str">
        <f t="shared" si="2"/>
        <v/>
      </c>
      <c r="L38" s="18" t="str">
        <f t="shared" si="3"/>
        <v/>
      </c>
      <c r="M38" s="11"/>
      <c r="N38" s="11"/>
    </row>
    <row r="39" spans="1:14" x14ac:dyDescent="0.2">
      <c r="A39" s="22"/>
      <c r="B39" s="23" t="s">
        <v>19</v>
      </c>
      <c r="C39" s="23"/>
      <c r="D39" s="23"/>
      <c r="E39" s="23"/>
      <c r="F39" s="23"/>
      <c r="G39" s="23"/>
      <c r="H39" s="18">
        <f>SUM(H9:H38)</f>
        <v>0.14020180018242057</v>
      </c>
      <c r="I39" s="19">
        <f>SUM(I9:I38)</f>
        <v>2.4923665351734314</v>
      </c>
      <c r="J39" s="18">
        <f>SUM(J9:J38)</f>
        <v>24.8306148644416</v>
      </c>
      <c r="K39" s="19">
        <f>SUM(K9:K38)</f>
        <v>60.7605536519183</v>
      </c>
      <c r="L39" s="18">
        <f>SUM(L9:L38)</f>
        <v>607.98051923501112</v>
      </c>
      <c r="M39" s="10"/>
      <c r="N39" s="10"/>
    </row>
    <row r="40" spans="1:14" x14ac:dyDescent="0.2">
      <c r="A40" s="22"/>
      <c r="B40" s="23"/>
      <c r="C40" s="23"/>
      <c r="D40" s="23"/>
      <c r="E40" s="23"/>
      <c r="F40" s="9"/>
      <c r="G40" s="7"/>
      <c r="H40" s="9"/>
      <c r="I40" s="7"/>
      <c r="J40" s="9"/>
      <c r="K40" s="10"/>
      <c r="L40" s="10"/>
      <c r="M40" s="10"/>
      <c r="N40" s="10"/>
    </row>
    <row r="41" spans="1:14" x14ac:dyDescent="0.2">
      <c r="A41" s="22"/>
      <c r="B41" s="23"/>
      <c r="C41" s="23"/>
      <c r="D41" s="23"/>
      <c r="E41" s="23"/>
      <c r="F41" s="9"/>
      <c r="G41" s="7"/>
      <c r="H41" s="9"/>
      <c r="I41" s="7"/>
      <c r="J41" s="9"/>
      <c r="K41" s="10"/>
      <c r="L41" s="10"/>
      <c r="M41" s="10"/>
      <c r="N41" s="10"/>
    </row>
    <row r="42" spans="1:14" x14ac:dyDescent="0.2">
      <c r="A42" s="22"/>
      <c r="B42" s="24" t="s">
        <v>20</v>
      </c>
      <c r="C42" s="25"/>
      <c r="D42" s="23">
        <f>IF(B9="","",H39*K39-I39^2)</f>
        <v>2.3068480564270786</v>
      </c>
      <c r="E42" s="23"/>
      <c r="F42" s="9"/>
      <c r="G42" s="7"/>
      <c r="H42" s="9"/>
      <c r="I42" s="7"/>
      <c r="J42" s="9"/>
      <c r="K42" s="10"/>
      <c r="L42" s="10"/>
      <c r="M42" s="10"/>
      <c r="N42" s="10"/>
    </row>
    <row r="43" spans="1:14" x14ac:dyDescent="0.2">
      <c r="A43" s="22"/>
      <c r="B43" s="7"/>
      <c r="C43" s="7"/>
      <c r="D43" s="12"/>
      <c r="E43" s="12"/>
      <c r="F43" s="14"/>
      <c r="G43" s="7"/>
      <c r="H43" s="9"/>
      <c r="I43" s="7"/>
      <c r="J43" s="9"/>
      <c r="K43" s="10"/>
      <c r="L43" s="10"/>
      <c r="M43" s="10"/>
      <c r="N43" s="10"/>
    </row>
    <row r="44" spans="1:14" x14ac:dyDescent="0.2">
      <c r="A44" s="26"/>
      <c r="B44" s="27"/>
      <c r="C44" s="27" t="s">
        <v>21</v>
      </c>
      <c r="D44" s="28"/>
      <c r="E44" s="29"/>
      <c r="F44" s="30"/>
      <c r="G44" s="29"/>
      <c r="H44" s="16"/>
      <c r="I44" s="29"/>
      <c r="J44" s="10"/>
      <c r="K44" s="10"/>
      <c r="L44" s="10"/>
      <c r="M44" s="10"/>
      <c r="N44" s="10"/>
    </row>
    <row r="45" spans="1:14" x14ac:dyDescent="0.2">
      <c r="A45" s="26"/>
      <c r="B45" s="31">
        <f>IF(B9="","",(H39*L39-I39*J39)/D42)</f>
        <v>10.123323758413006</v>
      </c>
      <c r="C45" s="31" t="s">
        <v>0</v>
      </c>
      <c r="D45" s="32">
        <f>IF(B45="","",2*SQRT(H39/D42))</f>
        <v>0.49305718924334807</v>
      </c>
      <c r="E45" s="29"/>
      <c r="F45" s="16"/>
      <c r="G45" s="29"/>
      <c r="H45" s="29"/>
      <c r="I45" s="29"/>
      <c r="J45" s="10"/>
      <c r="K45" s="10"/>
      <c r="L45" s="10"/>
      <c r="M45" s="10"/>
      <c r="N45" s="10"/>
    </row>
    <row r="46" spans="1:14" x14ac:dyDescent="0.2">
      <c r="A46" s="16"/>
      <c r="B46" s="33"/>
      <c r="C46" s="33"/>
      <c r="D46" s="33"/>
      <c r="E46" s="29"/>
      <c r="F46" s="16"/>
      <c r="I46" s="29"/>
      <c r="J46" s="10"/>
      <c r="K46" s="10"/>
      <c r="L46" s="10"/>
      <c r="M46" s="10"/>
      <c r="N46" s="10"/>
    </row>
    <row r="47" spans="1:14" x14ac:dyDescent="0.2">
      <c r="A47" s="26"/>
      <c r="B47" s="34"/>
      <c r="C47" s="34" t="s">
        <v>22</v>
      </c>
      <c r="D47" s="35"/>
      <c r="E47" s="29"/>
      <c r="F47" s="16"/>
      <c r="G47" s="29"/>
      <c r="H47" s="16"/>
      <c r="I47" s="29"/>
      <c r="J47" s="10"/>
      <c r="K47" s="10"/>
      <c r="L47" s="10"/>
      <c r="M47" s="10"/>
      <c r="N47" s="10"/>
    </row>
    <row r="48" spans="1:14" x14ac:dyDescent="0.2">
      <c r="A48" s="26"/>
      <c r="B48" s="31">
        <f>IF($B9="","",($K39*$J39-$I39*$L39)/$D42)</f>
        <v>-2.8560153666509405</v>
      </c>
      <c r="C48" s="31" t="s">
        <v>0</v>
      </c>
      <c r="D48" s="32">
        <f>IF(B48="","",2*SQRT(K39/D42))</f>
        <v>10.264347859228842</v>
      </c>
      <c r="E48" s="29"/>
      <c r="F48" s="16"/>
      <c r="G48" s="29"/>
      <c r="H48" s="16"/>
      <c r="I48" s="29"/>
      <c r="J48" s="10"/>
      <c r="K48" s="10"/>
      <c r="L48" s="10"/>
      <c r="M48" s="10"/>
      <c r="N48" s="10"/>
    </row>
    <row r="49" spans="1:14" x14ac:dyDescent="0.2">
      <c r="A49" s="10"/>
      <c r="B49" s="10"/>
      <c r="C49" s="10"/>
      <c r="D49" s="10"/>
      <c r="E49" s="10"/>
      <c r="F49" s="36"/>
      <c r="G49" s="10"/>
      <c r="H49" s="36"/>
      <c r="I49" s="10"/>
      <c r="J49" s="36"/>
      <c r="K49" s="10"/>
      <c r="L49" s="10"/>
      <c r="M49" s="10"/>
      <c r="N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Graphique</vt:lpstr>
      <vt:lpstr>Reglineraire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Parent</dc:creator>
  <cp:lastModifiedBy>Gyumishyan, Areg</cp:lastModifiedBy>
  <dcterms:created xsi:type="dcterms:W3CDTF">2025-02-21T01:02:54Z</dcterms:created>
  <dcterms:modified xsi:type="dcterms:W3CDTF">2026-09-26T18:40:03Z</dcterms:modified>
</cp:coreProperties>
</file>